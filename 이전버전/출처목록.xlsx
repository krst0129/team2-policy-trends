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은성\OneDrive\바탕 화면\신흥기술영향평가 2인1조 과제\"/>
    </mc:Choice>
  </mc:AlternateContent>
  <xr:revisionPtr revIDLastSave="0" documentId="13_ncr:1_{AE4F8ACB-9576-495C-984E-0B3D4B537CB1}" xr6:coauthVersionLast="47" xr6:coauthVersionMax="47" xr10:uidLastSave="{00000000-0000-0000-0000-000000000000}"/>
  <bookViews>
    <workbookView xWindow="-108" yWindow="-108" windowWidth="23256" windowHeight="12456" xr2:uid="{5943BF18-9C33-4FD5-9032-8B72524C6445}"/>
  </bookViews>
  <sheets>
    <sheet name="출처목록" sheetId="1" r:id="rId1"/>
    <sheet name="조사설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<sst xmlns="http://schemas.openxmlformats.org/spreadsheetml/2006/main" count="190" uniqueCount="110">
  <si>
    <t>번호</t>
  </si>
  <si>
    <t>구분</t>
  </si>
  <si>
    <t>기관명</t>
  </si>
  <si>
    <t>URL</t>
  </si>
  <si>
    <t>수집 방법</t>
  </si>
  <si>
    <t>담당자</t>
  </si>
  <si>
    <t>주로 확인할 유형</t>
  </si>
  <si>
    <t>비고</t>
  </si>
  <si>
    <t>정부 부처·기관</t>
  </si>
  <si>
    <t>과학기술정보통신부</t>
  </si>
  <si>
    <t>https://www.msit.go.kr</t>
  </si>
  <si>
    <t>게시판</t>
  </si>
  <si>
    <t>김은성</t>
  </si>
  <si>
    <t>보도자료, 정부 계획 및 전략</t>
  </si>
  <si>
    <t>중소벤처기업부</t>
  </si>
  <si>
    <t>https://www.mss.go.kr</t>
  </si>
  <si>
    <t>산업통상부</t>
  </si>
  <si>
    <t>https://www.motir.go.kr</t>
  </si>
  <si>
    <t>motie.go.kr 접속 시 이 주소로 이동함</t>
  </si>
  <si>
    <t>국가과학기술자문회의</t>
  </si>
  <si>
    <t>https://www.pacst.go.kr</t>
  </si>
  <si>
    <t>정책 동향, 정부 계획 및 전략</t>
  </si>
  <si>
    <t>대통령실</t>
  </si>
  <si>
    <t>https://www.president.go.kr</t>
  </si>
  <si>
    <t>정책 동향</t>
  </si>
  <si>
    <t>연구·정책기관</t>
  </si>
  <si>
    <t>한국과학기술기획평가원(KISTEP)</t>
  </si>
  <si>
    <t>https://www.kistep.re.kr</t>
  </si>
  <si>
    <t>김채림</t>
  </si>
  <si>
    <t>정책 보고서, 통계 및 실태조사</t>
  </si>
  <si>
    <t>과학기술정책연구원(STEPI)</t>
  </si>
  <si>
    <t>https://www.stepi.re.kr</t>
  </si>
  <si>
    <t>정책 보고서</t>
  </si>
  <si>
    <t>국가과학기술연구회(NST)</t>
  </si>
  <si>
    <t>https://www.nst.re.kr</t>
  </si>
  <si>
    <t>지원·전담기관</t>
  </si>
  <si>
    <t>창업진흥원</t>
  </si>
  <si>
    <t>https://www.kised.or.kr</t>
  </si>
  <si>
    <t>사업공고/예산</t>
  </si>
  <si>
    <t>공고는 K-Startup에 함께 올라옴</t>
  </si>
  <si>
    <t>K-Startup(창업지원포털)</t>
  </si>
  <si>
    <t>https://www.k-startup.go.kr</t>
  </si>
  <si>
    <t>중소기업기술정보진흥원(TIPA)</t>
  </si>
  <si>
    <t>https://www.tipa.or.kr</t>
  </si>
  <si>
    <t>한국산업기술진흥원(KIAT)</t>
  </si>
  <si>
    <t>https://www.kiat.or.kr</t>
  </si>
  <si>
    <t>과학기술사업화진흥원</t>
  </si>
  <si>
    <t>https://www.compa.re.kr</t>
  </si>
  <si>
    <t>연구개발특구진흥재단</t>
  </si>
  <si>
    <t>https://www.innopolis.or.kr</t>
  </si>
  <si>
    <t>한국연구재단(NRF)</t>
  </si>
  <si>
    <t>https://www.nrf.re.kr</t>
  </si>
  <si>
    <t>통합 포털</t>
  </si>
  <si>
    <t>국가과학기술지식정보서비스(NTIS)</t>
  </si>
  <si>
    <t>https://www.ntis.go.kr</t>
  </si>
  <si>
    <t>국가R&amp;D 통합공고. 수집 전 이용 안내 확인</t>
  </si>
  <si>
    <t>대한민국 정책브리핑</t>
  </si>
  <si>
    <t>https://www.korea.kr</t>
  </si>
  <si>
    <t>RSS·게시판</t>
  </si>
  <si>
    <t>보도자료, 정책 동향</t>
  </si>
  <si>
    <t>공공누리 출처 표시. 사진은 저작권 따로 확인</t>
  </si>
  <si>
    <t>기업마당</t>
  </si>
  <si>
    <t>https://www.bizinfo.go.kr</t>
  </si>
  <si>
    <t>API·게시판</t>
  </si>
  <si>
    <t>공식 API 제공</t>
  </si>
  <si>
    <t>공공데이터포털</t>
  </si>
  <si>
    <t>https://www.data.go.kr</t>
  </si>
  <si>
    <t>API·파일</t>
  </si>
  <si>
    <t>사업공고/예산, 보도자료</t>
  </si>
  <si>
    <t>국가법령정보센터</t>
  </si>
  <si>
    <t>https://www.law.go.kr</t>
  </si>
  <si>
    <t>게시판·검색</t>
  </si>
  <si>
    <t>법령</t>
  </si>
  <si>
    <t>해외</t>
  </si>
  <si>
    <t>OECD STIP Compass</t>
  </si>
  <si>
    <t>https://stip.oecd.org</t>
  </si>
  <si>
    <t>검색</t>
  </si>
  <si>
    <t>해외 정책자료</t>
  </si>
  <si>
    <t>자동 접속은 막혀 있음(403). 브라우저로 확인</t>
  </si>
  <si>
    <t>Google</t>
  </si>
  <si>
    <t>https://www.google.com</t>
  </si>
  <si>
    <t>김은성·김채림</t>
  </si>
  <si>
    <t>뉴스 기사, 언론·업계 동향</t>
  </si>
  <si>
    <t>공식 채널에서 못 찾은 자료만 보완</t>
  </si>
  <si>
    <t>항목</t>
  </si>
  <si>
    <t>값</t>
  </si>
  <si>
    <t>작업일</t>
  </si>
  <si>
    <t>조사 시작일</t>
  </si>
  <si>
    <t>작업일에서 3개월 전</t>
  </si>
  <si>
    <t>조사 종료일</t>
  </si>
  <si>
    <t>작업일과 같다</t>
  </si>
  <si>
    <t>검색 키워드</t>
  </si>
  <si>
    <t>딥테크</t>
  </si>
  <si>
    <t>기술사업화</t>
  </si>
  <si>
    <t>실험실 창업</t>
  </si>
  <si>
    <t>딥테크 창업</t>
  </si>
  <si>
    <t>산업화</t>
  </si>
  <si>
    <t>공공기술사업화</t>
  </si>
  <si>
    <t>R&amp;D 성과 사업화</t>
  </si>
  <si>
    <t>연구성과 사업화</t>
  </si>
  <si>
    <t>기술이전 사업화</t>
  </si>
  <si>
    <t>딥테크 스타트업 육성</t>
  </si>
  <si>
    <t>수집 유형</t>
  </si>
  <si>
    <t>최소 건수</t>
  </si>
  <si>
    <t>보도자료</t>
  </si>
  <si>
    <t>뉴스 기사</t>
  </si>
  <si>
    <t>정부 계획 및 전략</t>
  </si>
  <si>
    <t>관련 통계 및 실태조사</t>
  </si>
  <si>
    <t>언론·업계 동향</t>
  </si>
  <si>
    <t>매주 작업하는 날로 바꾼다 (예: 2026-10-24)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</si>
</sst>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B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14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2801-D40C-4E8F-B6AE-E13449AC5E6B}">
  <dimension ref="A1:H23"/>
  <sheetViews>
    <sheetView tabSelected="1"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5" bestFit="1" customWidth="1"/>
    <col min="2" max="2" width="13.5" bestFit="1" customWidth="1"/>
    <col min="3" max="3" width="31.3984375" bestFit="1" customWidth="1"/>
    <col min="4" max="4" width="24.8984375" bestFit="1" customWidth="1"/>
    <col min="5" max="5" width="10.8984375" bestFit="1" customWidth="1"/>
    <col min="6" max="6" width="12.796875" bestFit="1" customWidth="1"/>
    <col min="7" max="7" width="27.19921875" bestFit="1" customWidth="1"/>
    <col min="8" max="8" width="40.19921875" bestFit="1" customWidth="1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4">
      <c r="A3">
        <v>2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</row>
    <row r="4" spans="1:8" x14ac:dyDescent="0.4">
      <c r="A4">
        <v>3</v>
      </c>
      <c r="B4" t="s">
        <v>8</v>
      </c>
      <c r="C4" t="s">
        <v>16</v>
      </c>
      <c r="D4" t="s">
        <v>17</v>
      </c>
      <c r="E4" t="s">
        <v>11</v>
      </c>
      <c r="F4" t="s">
        <v>12</v>
      </c>
      <c r="G4" t="s">
        <v>13</v>
      </c>
      <c r="H4" t="s">
        <v>18</v>
      </c>
    </row>
    <row r="5" spans="1:8" x14ac:dyDescent="0.4">
      <c r="A5">
        <v>4</v>
      </c>
      <c r="B5" t="s">
        <v>8</v>
      </c>
      <c r="C5" t="s">
        <v>19</v>
      </c>
      <c r="D5" t="s">
        <v>20</v>
      </c>
      <c r="E5" t="s">
        <v>11</v>
      </c>
      <c r="F5" t="s">
        <v>12</v>
      </c>
      <c r="G5" t="s">
        <v>21</v>
      </c>
    </row>
    <row r="6" spans="1:8" x14ac:dyDescent="0.4">
      <c r="A6">
        <v>5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24</v>
      </c>
    </row>
    <row r="7" spans="1:8" x14ac:dyDescent="0.4">
      <c r="A7">
        <v>6</v>
      </c>
      <c r="B7" t="s">
        <v>25</v>
      </c>
      <c r="C7" t="s">
        <v>26</v>
      </c>
      <c r="D7" t="s">
        <v>27</v>
      </c>
      <c r="E7" t="s">
        <v>11</v>
      </c>
      <c r="F7" t="s">
        <v>28</v>
      </c>
      <c r="G7" t="s">
        <v>29</v>
      </c>
    </row>
    <row r="8" spans="1:8" x14ac:dyDescent="0.4">
      <c r="A8">
        <v>7</v>
      </c>
      <c r="B8" t="s">
        <v>25</v>
      </c>
      <c r="C8" t="s">
        <v>30</v>
      </c>
      <c r="D8" t="s">
        <v>31</v>
      </c>
      <c r="E8" t="s">
        <v>11</v>
      </c>
      <c r="F8" t="s">
        <v>28</v>
      </c>
      <c r="G8" t="s">
        <v>32</v>
      </c>
    </row>
    <row r="9" spans="1:8" x14ac:dyDescent="0.4">
      <c r="A9">
        <v>8</v>
      </c>
      <c r="B9" t="s">
        <v>25</v>
      </c>
      <c r="C9" t="s">
        <v>33</v>
      </c>
      <c r="D9" t="s">
        <v>34</v>
      </c>
      <c r="E9" t="s">
        <v>11</v>
      </c>
      <c r="F9" t="s">
        <v>28</v>
      </c>
      <c r="G9" t="s">
        <v>32</v>
      </c>
    </row>
    <row r="10" spans="1:8" x14ac:dyDescent="0.4">
      <c r="A10">
        <v>9</v>
      </c>
      <c r="B10" t="s">
        <v>35</v>
      </c>
      <c r="C10" t="s">
        <v>36</v>
      </c>
      <c r="D10" t="s">
        <v>37</v>
      </c>
      <c r="E10" t="s">
        <v>11</v>
      </c>
      <c r="F10" t="s">
        <v>12</v>
      </c>
      <c r="G10" t="s">
        <v>38</v>
      </c>
      <c r="H10" t="s">
        <v>39</v>
      </c>
    </row>
    <row r="11" spans="1:8" x14ac:dyDescent="0.4">
      <c r="A11">
        <v>10</v>
      </c>
      <c r="B11" t="s">
        <v>35</v>
      </c>
      <c r="C11" t="s">
        <v>40</v>
      </c>
      <c r="D11" t="s">
        <v>41</v>
      </c>
      <c r="E11" t="s">
        <v>11</v>
      </c>
      <c r="F11" t="s">
        <v>12</v>
      </c>
      <c r="G11" t="s">
        <v>38</v>
      </c>
    </row>
    <row r="12" spans="1:8" x14ac:dyDescent="0.4">
      <c r="A12">
        <v>11</v>
      </c>
      <c r="B12" t="s">
        <v>35</v>
      </c>
      <c r="C12" t="s">
        <v>42</v>
      </c>
      <c r="D12" t="s">
        <v>43</v>
      </c>
      <c r="E12" t="s">
        <v>11</v>
      </c>
      <c r="F12" t="s">
        <v>12</v>
      </c>
      <c r="G12" t="s">
        <v>38</v>
      </c>
    </row>
    <row r="13" spans="1:8" x14ac:dyDescent="0.4">
      <c r="A13">
        <v>12</v>
      </c>
      <c r="B13" t="s">
        <v>35</v>
      </c>
      <c r="C13" t="s">
        <v>44</v>
      </c>
      <c r="D13" t="s">
        <v>45</v>
      </c>
      <c r="E13" t="s">
        <v>11</v>
      </c>
      <c r="F13" t="s">
        <v>12</v>
      </c>
      <c r="G13" t="s">
        <v>38</v>
      </c>
    </row>
    <row r="14" spans="1:8" x14ac:dyDescent="0.4">
      <c r="A14">
        <v>13</v>
      </c>
      <c r="B14" t="s">
        <v>35</v>
      </c>
      <c r="C14" t="s">
        <v>46</v>
      </c>
      <c r="D14" t="s">
        <v>47</v>
      </c>
      <c r="E14" t="s">
        <v>11</v>
      </c>
      <c r="F14" t="s">
        <v>12</v>
      </c>
      <c r="G14" t="s">
        <v>38</v>
      </c>
    </row>
    <row r="15" spans="1:8" x14ac:dyDescent="0.4">
      <c r="A15">
        <v>14</v>
      </c>
      <c r="B15" t="s">
        <v>35</v>
      </c>
      <c r="C15" t="s">
        <v>48</v>
      </c>
      <c r="D15" t="s">
        <v>49</v>
      </c>
      <c r="E15" t="s">
        <v>11</v>
      </c>
      <c r="F15" t="s">
        <v>12</v>
      </c>
      <c r="G15" t="s">
        <v>38</v>
      </c>
    </row>
    <row r="16" spans="1:8" x14ac:dyDescent="0.4">
      <c r="A16">
        <v>15</v>
      </c>
      <c r="B16" t="s">
        <v>35</v>
      </c>
      <c r="C16" t="s">
        <v>50</v>
      </c>
      <c r="D16" t="s">
        <v>51</v>
      </c>
      <c r="E16" t="s">
        <v>11</v>
      </c>
      <c r="F16" t="s">
        <v>12</v>
      </c>
      <c r="G16" t="s">
        <v>38</v>
      </c>
    </row>
    <row r="17" spans="1:8" x14ac:dyDescent="0.4">
      <c r="A17">
        <v>16</v>
      </c>
      <c r="B17" t="s">
        <v>52</v>
      </c>
      <c r="C17" t="s">
        <v>53</v>
      </c>
      <c r="D17" t="s">
        <v>54</v>
      </c>
      <c r="E17" t="s">
        <v>11</v>
      </c>
      <c r="F17" t="s">
        <v>12</v>
      </c>
      <c r="G17" t="s">
        <v>38</v>
      </c>
      <c r="H17" t="s">
        <v>55</v>
      </c>
    </row>
    <row r="18" spans="1:8" x14ac:dyDescent="0.4">
      <c r="A18">
        <v>17</v>
      </c>
      <c r="B18" t="s">
        <v>52</v>
      </c>
      <c r="C18" t="s">
        <v>56</v>
      </c>
      <c r="D18" t="s">
        <v>57</v>
      </c>
      <c r="E18" t="s">
        <v>58</v>
      </c>
      <c r="F18" t="s">
        <v>12</v>
      </c>
      <c r="G18" t="s">
        <v>59</v>
      </c>
      <c r="H18" t="s">
        <v>60</v>
      </c>
    </row>
    <row r="19" spans="1:8" x14ac:dyDescent="0.4">
      <c r="A19">
        <v>18</v>
      </c>
      <c r="B19" t="s">
        <v>52</v>
      </c>
      <c r="C19" t="s">
        <v>61</v>
      </c>
      <c r="D19" t="s">
        <v>62</v>
      </c>
      <c r="E19" t="s">
        <v>63</v>
      </c>
      <c r="F19" t="s">
        <v>12</v>
      </c>
      <c r="G19" t="s">
        <v>38</v>
      </c>
      <c r="H19" t="s">
        <v>64</v>
      </c>
    </row>
    <row r="20" spans="1:8" x14ac:dyDescent="0.4">
      <c r="A20">
        <v>19</v>
      </c>
      <c r="B20" t="s">
        <v>52</v>
      </c>
      <c r="C20" t="s">
        <v>65</v>
      </c>
      <c r="D20" t="s">
        <v>66</v>
      </c>
      <c r="E20" t="s">
        <v>67</v>
      </c>
      <c r="F20" t="s">
        <v>12</v>
      </c>
      <c r="G20" t="s">
        <v>68</v>
      </c>
    </row>
    <row r="21" spans="1:8" x14ac:dyDescent="0.4">
      <c r="A21">
        <v>20</v>
      </c>
      <c r="B21" t="s">
        <v>52</v>
      </c>
      <c r="C21" t="s">
        <v>69</v>
      </c>
      <c r="D21" t="s">
        <v>70</v>
      </c>
      <c r="E21" t="s">
        <v>71</v>
      </c>
      <c r="F21" t="s">
        <v>12</v>
      </c>
      <c r="G21" t="s">
        <v>72</v>
      </c>
    </row>
    <row r="22" spans="1:8" x14ac:dyDescent="0.4">
      <c r="A22">
        <v>21</v>
      </c>
      <c r="B22" t="s">
        <v>73</v>
      </c>
      <c r="C22" t="s">
        <v>74</v>
      </c>
      <c r="D22" t="s">
        <v>75</v>
      </c>
      <c r="E22" t="s">
        <v>76</v>
      </c>
      <c r="F22" t="s">
        <v>28</v>
      </c>
      <c r="G22" t="s">
        <v>77</v>
      </c>
      <c r="H22" t="s">
        <v>78</v>
      </c>
    </row>
    <row r="23" spans="1:8" x14ac:dyDescent="0.4">
      <c r="A23">
        <v>22</v>
      </c>
      <c r="B23" t="s">
        <v>76</v>
      </c>
      <c r="C23" t="s">
        <v>79</v>
      </c>
      <c r="D23" t="s">
        <v>80</v>
      </c>
      <c r="E23" t="s">
        <v>76</v>
      </c>
      <c r="F23" t="s">
        <v>81</v>
      </c>
      <c r="G23" t="s">
        <v>82</v>
      </c>
      <c r="H23" t="s">
        <v>83</v>
      </c>
    </row>
  </sheetData>
  <phoneticPr fontId="2" type="noConversion"/>
  <dataValidations count="1">
    <dataValidation type="list" allowBlank="1" showInputMessage="1" showErrorMessage="1" sqref="E2:E200" xr:uid="{6B084C11-EEC9-4D2B-AB03-A4AA6591F9CB}">
      <formula1>"API,RSS,게시판,검색,API·게시판,RSS·게시판,API·파일,게시판·검색"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FB9F-C3DF-4859-AF12-AE381B1E2ACA}">
  <dimension ref="A1:C28"/>
  <sheetViews>
    <sheetView workbookViewId="0"/>
  </sheetViews>
  <sheetFormatPr defaultRowHeight="17.399999999999999" x14ac:dyDescent="0.4"/>
  <cols>
    <col min="1" max="1" width="20.19921875" bestFit="1" customWidth="1"/>
    <col min="2" max="2" width="19.59765625" bestFit="1" customWidth="1"/>
    <col min="3" max="3" width="24.09765625" bestFit="1" customWidth="1"/>
  </cols>
  <sheetData>
    <row r="1" spans="1:3" s="1" customFormat="1" x14ac:dyDescent="0.4">
      <c r="A1" s="1" t="s">
        <v>84</v>
      </c>
      <c r="B1" s="1" t="s">
        <v>85</v>
      </c>
      <c r="C1" s="1" t="s">
        <v>7</v>
      </c>
    </row>
    <row r="2" spans="1:3" x14ac:dyDescent="0.4">
      <c r="A2" t="s">
        <v>86</v>
      </c>
      <c r="B2" s="3">
        <f>DATE(2026,10,17)</f>
        <v>46312</v>
      </c>
      <c r="C2" t="s">
        <v>109</v>
      </c>
    </row>
    <row r="3" spans="1:3" x14ac:dyDescent="0.4">
      <c r="A3" t="s">
        <v>87</v>
      </c>
      <c r="B3" s="3">
        <f>EDATE(B2,-3)</f>
        <v>46220</v>
      </c>
      <c r="C3" t="s">
        <v>88</v>
      </c>
    </row>
    <row r="4" spans="1:3" x14ac:dyDescent="0.4">
      <c r="A4" t="s">
        <v>89</v>
      </c>
      <c r="B4" s="3">
        <f>B2</f>
        <v>46312</v>
      </c>
      <c r="C4" t="s">
        <v>90</v>
      </c>
    </row>
    <row r="6" spans="1:3" s="1" customFormat="1" x14ac:dyDescent="0.4">
      <c r="A6" s="1" t="s">
        <v>91</v>
      </c>
    </row>
    <row r="7" spans="1:3" x14ac:dyDescent="0.4">
      <c r="B7" t="s">
        <v>92</v>
      </c>
    </row>
    <row r="8" spans="1:3" x14ac:dyDescent="0.4">
      <c r="B8" t="s">
        <v>93</v>
      </c>
    </row>
    <row r="9" spans="1:3" x14ac:dyDescent="0.4">
      <c r="B9" t="s">
        <v>94</v>
      </c>
    </row>
    <row r="10" spans="1:3" x14ac:dyDescent="0.4">
      <c r="B10" t="s">
        <v>95</v>
      </c>
    </row>
    <row r="11" spans="1:3" x14ac:dyDescent="0.4">
      <c r="B11" t="s">
        <v>96</v>
      </c>
    </row>
    <row r="12" spans="1:3" x14ac:dyDescent="0.4">
      <c r="B12" t="s">
        <v>97</v>
      </c>
    </row>
    <row r="13" spans="1:3" x14ac:dyDescent="0.4">
      <c r="B13" t="s">
        <v>98</v>
      </c>
    </row>
    <row r="14" spans="1:3" x14ac:dyDescent="0.4">
      <c r="B14" t="s">
        <v>99</v>
      </c>
    </row>
    <row r="15" spans="1:3" x14ac:dyDescent="0.4">
      <c r="B15" t="s">
        <v>100</v>
      </c>
    </row>
    <row r="16" spans="1:3" x14ac:dyDescent="0.4">
      <c r="B16" t="s">
        <v>101</v>
      </c>
    </row>
    <row r="18" spans="1:3" s="1" customFormat="1" x14ac:dyDescent="0.4">
      <c r="A18" s="1" t="s">
        <v>102</v>
      </c>
      <c r="B18" s="1" t="s">
        <v>5</v>
      </c>
      <c r="C18" s="1" t="s">
        <v>103</v>
      </c>
    </row>
    <row r="19" spans="1:3" x14ac:dyDescent="0.4">
      <c r="A19" t="s">
        <v>24</v>
      </c>
      <c r="B19" t="s">
        <v>12</v>
      </c>
      <c r="C19">
        <v>3</v>
      </c>
    </row>
    <row r="20" spans="1:3" x14ac:dyDescent="0.4">
      <c r="A20" t="s">
        <v>104</v>
      </c>
      <c r="B20" t="s">
        <v>12</v>
      </c>
      <c r="C20">
        <v>3</v>
      </c>
    </row>
    <row r="21" spans="1:3" x14ac:dyDescent="0.4">
      <c r="A21" t="s">
        <v>32</v>
      </c>
      <c r="B21" t="s">
        <v>28</v>
      </c>
      <c r="C21">
        <v>3</v>
      </c>
    </row>
    <row r="22" spans="1:3" x14ac:dyDescent="0.4">
      <c r="A22" t="s">
        <v>105</v>
      </c>
      <c r="B22" t="s">
        <v>28</v>
      </c>
      <c r="C22">
        <v>3</v>
      </c>
    </row>
    <row r="23" spans="1:3" x14ac:dyDescent="0.4">
      <c r="A23" t="s">
        <v>106</v>
      </c>
      <c r="B23" t="s">
        <v>12</v>
      </c>
      <c r="C23">
        <v>3</v>
      </c>
    </row>
    <row r="24" spans="1:3" x14ac:dyDescent="0.4">
      <c r="A24" t="s">
        <v>72</v>
      </c>
      <c r="B24" t="s">
        <v>12</v>
      </c>
      <c r="C24">
        <v>3</v>
      </c>
    </row>
    <row r="25" spans="1:3" x14ac:dyDescent="0.4">
      <c r="A25" t="s">
        <v>38</v>
      </c>
      <c r="B25" t="s">
        <v>12</v>
      </c>
      <c r="C25">
        <v>3</v>
      </c>
    </row>
    <row r="26" spans="1:3" x14ac:dyDescent="0.4">
      <c r="A26" t="s">
        <v>107</v>
      </c>
      <c r="B26" t="s">
        <v>28</v>
      </c>
      <c r="C26">
        <v>3</v>
      </c>
    </row>
    <row r="27" spans="1:3" x14ac:dyDescent="0.4">
      <c r="A27" t="s">
        <v>77</v>
      </c>
      <c r="B27" t="s">
        <v>28</v>
      </c>
      <c r="C27">
        <v>3</v>
      </c>
    </row>
    <row r="28" spans="1:3" x14ac:dyDescent="0.4">
      <c r="A28" t="s">
        <v>108</v>
      </c>
      <c r="B28" t="s">
        <v>28</v>
      </c>
      <c r="C28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출처목록</vt:lpstr>
      <vt:lpstr>조사설정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EUNSEONG KIM</dc:creator>
  <cp:lastModifiedBy>EUNSEONG KIM</cp:lastModifiedBy>
  <dcterms:created xsi:type="dcterms:W3CDTF">2026-10-17T01:53:01Z</dcterms:created>
  <dcterms:modified xsi:type="dcterms:W3CDTF">2026-10-17T01:53:33Z</dcterms:modified>
</cp:coreProperties>
</file>